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Lumify\0_Documents\Kalkulation\"/>
    </mc:Choice>
  </mc:AlternateContent>
  <xr:revisionPtr revIDLastSave="0" documentId="13_ncr:1_{1949DBDE-9798-4AED-87E6-FC9D5AF40215}" xr6:coauthVersionLast="47" xr6:coauthVersionMax="47" xr10:uidLastSave="{00000000-0000-0000-0000-000000000000}"/>
  <bookViews>
    <workbookView xWindow="22932" yWindow="-108" windowWidth="23256" windowHeight="13896" activeTab="1" xr2:uid="{00000000-000D-0000-FFFF-FFFF00000000}"/>
  </bookViews>
  <sheets>
    <sheet name="Preiskalkulation" sheetId="1" r:id="rId1"/>
    <sheet name="Berrechnu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4" i="2"/>
  <c r="C11" i="2"/>
  <c r="C8" i="2"/>
  <c r="C7" i="2"/>
  <c r="C9" i="2" s="1"/>
  <c r="C17" i="2" s="1"/>
  <c r="C3" i="1"/>
  <c r="C2" i="1"/>
  <c r="C5" i="1" l="1"/>
  <c r="C18" i="2"/>
  <c r="C6" i="1" s="1"/>
  <c r="C20" i="2"/>
  <c r="C4" i="1"/>
  <c r="C7" i="1" l="1"/>
  <c r="C21" i="2"/>
  <c r="C8" i="1" s="1"/>
  <c r="C22" i="2" l="1"/>
  <c r="C9" i="1" l="1"/>
  <c r="C24" i="2"/>
  <c r="C10" i="1" s="1"/>
  <c r="C25" i="2" l="1"/>
  <c r="C26" i="2" l="1"/>
  <c r="C12" i="1" s="1"/>
  <c r="C11" i="1"/>
  <c r="C27" i="2" l="1"/>
  <c r="C28" i="2" l="1"/>
  <c r="C14" i="1" s="1"/>
  <c r="C13" i="1"/>
  <c r="C29" i="2" l="1"/>
  <c r="C15" i="1" s="1"/>
</calcChain>
</file>

<file path=xl/sharedStrings.xml><?xml version="1.0" encoding="utf-8"?>
<sst xmlns="http://schemas.openxmlformats.org/spreadsheetml/2006/main" count="56" uniqueCount="31">
  <si>
    <t>Beschreibung</t>
  </si>
  <si>
    <t>Wert</t>
  </si>
  <si>
    <t>Materialeinzelkosten</t>
  </si>
  <si>
    <t>+</t>
  </si>
  <si>
    <t>Materialgemeinkosten</t>
  </si>
  <si>
    <t>=</t>
  </si>
  <si>
    <t>Materialkosten</t>
  </si>
  <si>
    <t>Lohneinzelkosten</t>
  </si>
  <si>
    <t>Lohngemeinkosten</t>
  </si>
  <si>
    <t>Herstellungskosten</t>
  </si>
  <si>
    <t>Verwaltungs- und Vertriebsgemeinkosten</t>
  </si>
  <si>
    <t>Selbstkosten</t>
  </si>
  <si>
    <t>Gewinn</t>
  </si>
  <si>
    <t>Nettowert (bar)</t>
  </si>
  <si>
    <t>Zinsenaufschlag (Skonto)</t>
  </si>
  <si>
    <t>Nettowert (Ziel)</t>
  </si>
  <si>
    <t>Umsatzsteuer</t>
  </si>
  <si>
    <t>Zielverkaufspreis</t>
  </si>
  <si>
    <t>Stundenlohn &amp; Rechenweg</t>
  </si>
  <si>
    <t>Br.Wert</t>
  </si>
  <si>
    <t>Ergebnis</t>
  </si>
  <si>
    <t>Monatsgehalt KV IT, ST1-Einstiegsstufe (2025)</t>
  </si>
  <si>
    <t>Gehälter pro Jahr (inkl. 13./14.)</t>
  </si>
  <si>
    <t>Wochenarbeitszeit (h)</t>
  </si>
  <si>
    <t>Wochen pro Jahr</t>
  </si>
  <si>
    <t>Jahresgehalt</t>
  </si>
  <si>
    <t>Jahresarbeitszeit (h)</t>
  </si>
  <si>
    <t>Stundenlohn brutto (€/h)</t>
  </si>
  <si>
    <t>Arbeitszeit gesamt (h) - (3080 min)</t>
  </si>
  <si>
    <t>Lohneinzelkosten (= Arbeitszeit × Stundenlohn)</t>
  </si>
  <si>
    <t>&gt;&gt;&gt; Hier wurde an den Schrauben gedreht um weitere Gewinnszenarien zu generieren.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</si>
</sst>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0" fontId="1" fillId="0" borderId="0" xfId="0" applyFont="1"/>
    <xf numFmtId="1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D14" sqref="D14"/>
    </sheetView>
  </sheetViews>
  <sheetFormatPr baseColWidth="10" defaultColWidth="9.140625" defaultRowHeight="15" x14ac:dyDescent="0.25"/>
  <cols>
    <col min="1" max="1" width="5" customWidth="1"/>
    <col min="2" max="2" width="42" customWidth="1"/>
    <col min="3" max="3" width="16" customWidth="1"/>
  </cols>
  <sheetData>
    <row r="1" spans="1:3" ht="21.75" customHeight="1" x14ac:dyDescent="0.25">
      <c r="A1" s="1"/>
      <c r="B1" s="1" t="s">
        <v>0</v>
      </c>
      <c r="C1" s="2" t="s">
        <v>1</v>
      </c>
    </row>
    <row r="2" spans="1:3" x14ac:dyDescent="0.25">
      <c r="A2" s="3"/>
      <c r="B2" s="4" t="s">
        <v>2</v>
      </c>
      <c r="C2" s="5">
        <f>Berrechnung!C13</f>
        <v>6</v>
      </c>
    </row>
    <row r="3" spans="1:3" x14ac:dyDescent="0.25">
      <c r="A3" s="3" t="s">
        <v>3</v>
      </c>
      <c r="B3" s="4" t="s">
        <v>4</v>
      </c>
      <c r="C3" s="5">
        <f>Berrechnung!C14</f>
        <v>2.2199999999999998</v>
      </c>
    </row>
    <row r="4" spans="1:3" x14ac:dyDescent="0.25">
      <c r="A4" s="6" t="s">
        <v>5</v>
      </c>
      <c r="B4" s="7" t="s">
        <v>6</v>
      </c>
      <c r="C4" s="8">
        <f>Berrechnung!C15</f>
        <v>8.2199999999999989</v>
      </c>
    </row>
    <row r="5" spans="1:3" x14ac:dyDescent="0.25">
      <c r="A5" s="3" t="s">
        <v>3</v>
      </c>
      <c r="B5" s="4" t="s">
        <v>7</v>
      </c>
      <c r="C5" s="5">
        <f>Berrechnung!C17</f>
        <v>1139.7435897435898</v>
      </c>
    </row>
    <row r="6" spans="1:3" x14ac:dyDescent="0.25">
      <c r="A6" s="3" t="s">
        <v>3</v>
      </c>
      <c r="B6" s="4" t="s">
        <v>8</v>
      </c>
      <c r="C6" s="5">
        <f>Berrechnung!C18</f>
        <v>1447.4743589743591</v>
      </c>
    </row>
    <row r="7" spans="1:3" x14ac:dyDescent="0.25">
      <c r="A7" s="6" t="s">
        <v>5</v>
      </c>
      <c r="B7" s="7" t="s">
        <v>9</v>
      </c>
      <c r="C7" s="8">
        <f>Berrechnung!C20</f>
        <v>2595.437948717949</v>
      </c>
    </row>
    <row r="8" spans="1:3" x14ac:dyDescent="0.25">
      <c r="A8" s="3" t="s">
        <v>3</v>
      </c>
      <c r="B8" s="4" t="s">
        <v>10</v>
      </c>
      <c r="C8" s="5">
        <f>Berrechnung!C21</f>
        <v>1479.3996307692307</v>
      </c>
    </row>
    <row r="9" spans="1:3" x14ac:dyDescent="0.25">
      <c r="A9" s="6" t="s">
        <v>5</v>
      </c>
      <c r="B9" s="7" t="s">
        <v>11</v>
      </c>
      <c r="C9" s="8">
        <f>Berrechnung!C22</f>
        <v>4074.8375794871799</v>
      </c>
    </row>
    <row r="10" spans="1:3" x14ac:dyDescent="0.25">
      <c r="A10" s="3" t="s">
        <v>3</v>
      </c>
      <c r="B10" s="4" t="s">
        <v>12</v>
      </c>
      <c r="C10" s="5">
        <f>Berrechnung!C24</f>
        <v>1222.451273846154</v>
      </c>
    </row>
    <row r="11" spans="1:3" x14ac:dyDescent="0.25">
      <c r="A11" s="6" t="s">
        <v>5</v>
      </c>
      <c r="B11" s="7" t="s">
        <v>13</v>
      </c>
      <c r="C11" s="8">
        <f>Berrechnung!C25</f>
        <v>5297.2888533333335</v>
      </c>
    </row>
    <row r="12" spans="1:3" x14ac:dyDescent="0.25">
      <c r="A12" s="3" t="s">
        <v>3</v>
      </c>
      <c r="B12" s="4" t="s">
        <v>14</v>
      </c>
      <c r="C12" s="5">
        <f>Berrechnung!C26</f>
        <v>163.83367587628891</v>
      </c>
    </row>
    <row r="13" spans="1:3" x14ac:dyDescent="0.25">
      <c r="A13" s="6" t="s">
        <v>5</v>
      </c>
      <c r="B13" s="7" t="s">
        <v>15</v>
      </c>
      <c r="C13" s="8">
        <f>Berrechnung!C27</f>
        <v>5461.1225292096224</v>
      </c>
    </row>
    <row r="14" spans="1:3" x14ac:dyDescent="0.25">
      <c r="A14" s="3" t="s">
        <v>3</v>
      </c>
      <c r="B14" s="4" t="s">
        <v>16</v>
      </c>
      <c r="C14" s="5">
        <f>Berrechnung!C28</f>
        <v>1092.2245058419246</v>
      </c>
    </row>
    <row r="15" spans="1:3" ht="25.5" customHeight="1" x14ac:dyDescent="0.25">
      <c r="A15" s="9" t="s">
        <v>5</v>
      </c>
      <c r="B15" s="1" t="s">
        <v>17</v>
      </c>
      <c r="C15" s="10">
        <f>Berrechnung!C29</f>
        <v>6553.3470350515472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tabSelected="1" workbookViewId="0">
      <selection activeCell="F21" sqref="F21"/>
    </sheetView>
  </sheetViews>
  <sheetFormatPr baseColWidth="10" defaultColWidth="9.140625" defaultRowHeight="15" x14ac:dyDescent="0.25"/>
  <cols>
    <col min="1" max="1" width="51.28515625" customWidth="1"/>
    <col min="2" max="2" width="13.140625" style="15" customWidth="1"/>
    <col min="3" max="3" width="16" customWidth="1"/>
  </cols>
  <sheetData>
    <row r="1" spans="1:3" ht="27" customHeight="1" x14ac:dyDescent="0.25">
      <c r="A1" s="11" t="s">
        <v>18</v>
      </c>
      <c r="B1" s="15" t="s">
        <v>19</v>
      </c>
      <c r="C1" t="s">
        <v>20</v>
      </c>
    </row>
    <row r="2" spans="1:3" x14ac:dyDescent="0.25">
      <c r="A2" s="4" t="s">
        <v>21</v>
      </c>
      <c r="B2" s="16"/>
      <c r="C2" s="5">
        <v>3175</v>
      </c>
    </row>
    <row r="3" spans="1:3" x14ac:dyDescent="0.25">
      <c r="A3" s="4" t="s">
        <v>22</v>
      </c>
      <c r="B3" s="16"/>
      <c r="C3" s="12">
        <v>14</v>
      </c>
    </row>
    <row r="4" spans="1:3" x14ac:dyDescent="0.25">
      <c r="A4" s="4" t="s">
        <v>23</v>
      </c>
      <c r="B4" s="16"/>
      <c r="C4" s="13">
        <v>38.5</v>
      </c>
    </row>
    <row r="5" spans="1:3" x14ac:dyDescent="0.25">
      <c r="A5" s="4" t="s">
        <v>24</v>
      </c>
      <c r="B5" s="16"/>
      <c r="C5" s="12">
        <v>52</v>
      </c>
    </row>
    <row r="6" spans="1:3" x14ac:dyDescent="0.25">
      <c r="A6" s="4"/>
      <c r="B6" s="16"/>
      <c r="C6" s="12"/>
    </row>
    <row r="7" spans="1:3" x14ac:dyDescent="0.25">
      <c r="A7" s="4" t="s">
        <v>25</v>
      </c>
      <c r="B7" s="16"/>
      <c r="C7" s="5">
        <f>C2*C3</f>
        <v>44450</v>
      </c>
    </row>
    <row r="8" spans="1:3" x14ac:dyDescent="0.25">
      <c r="A8" s="4" t="s">
        <v>26</v>
      </c>
      <c r="B8" s="16"/>
      <c r="C8" s="14">
        <f>C4*C5</f>
        <v>2002</v>
      </c>
    </row>
    <row r="9" spans="1:3" x14ac:dyDescent="0.25">
      <c r="A9" s="4" t="s">
        <v>27</v>
      </c>
      <c r="B9" s="16"/>
      <c r="C9" s="5">
        <f>C7/C8</f>
        <v>22.202797202797203</v>
      </c>
    </row>
    <row r="10" spans="1:3" x14ac:dyDescent="0.25">
      <c r="A10" s="4"/>
      <c r="B10" s="16"/>
      <c r="C10" s="5"/>
    </row>
    <row r="11" spans="1:3" x14ac:dyDescent="0.25">
      <c r="A11" s="4" t="s">
        <v>28</v>
      </c>
      <c r="B11" s="16"/>
      <c r="C11" s="14">
        <f>3080/60</f>
        <v>51.333333333333336</v>
      </c>
    </row>
    <row r="12" spans="1:3" x14ac:dyDescent="0.25">
      <c r="A12" s="4"/>
      <c r="B12" s="16"/>
      <c r="C12" s="14"/>
    </row>
    <row r="13" spans="1:3" x14ac:dyDescent="0.25">
      <c r="A13" s="4" t="s">
        <v>2</v>
      </c>
      <c r="B13" s="16"/>
      <c r="C13" s="5">
        <v>6</v>
      </c>
    </row>
    <row r="14" spans="1:3" x14ac:dyDescent="0.25">
      <c r="A14" s="4" t="s">
        <v>4</v>
      </c>
      <c r="B14" s="17">
        <v>0.37</v>
      </c>
      <c r="C14" s="5">
        <f>C13*B14</f>
        <v>2.2199999999999998</v>
      </c>
    </row>
    <row r="15" spans="1:3" x14ac:dyDescent="0.25">
      <c r="A15" s="4" t="s">
        <v>6</v>
      </c>
      <c r="B15" s="16"/>
      <c r="C15" s="5">
        <f>C13+C14</f>
        <v>8.2199999999999989</v>
      </c>
    </row>
    <row r="16" spans="1:3" x14ac:dyDescent="0.25">
      <c r="A16" s="4"/>
      <c r="B16" s="16"/>
      <c r="C16" s="5"/>
    </row>
    <row r="17" spans="1:5" x14ac:dyDescent="0.25">
      <c r="A17" s="4" t="s">
        <v>29</v>
      </c>
      <c r="B17" s="16"/>
      <c r="C17" s="5">
        <f>C11*C9</f>
        <v>1139.7435897435898</v>
      </c>
    </row>
    <row r="18" spans="1:5" x14ac:dyDescent="0.25">
      <c r="A18" s="4" t="s">
        <v>8</v>
      </c>
      <c r="B18" s="17">
        <v>1.27</v>
      </c>
      <c r="C18" s="5">
        <f>C17*B18</f>
        <v>1447.4743589743591</v>
      </c>
    </row>
    <row r="19" spans="1:5" x14ac:dyDescent="0.25">
      <c r="A19" s="4"/>
      <c r="B19" s="17"/>
      <c r="C19" s="5"/>
    </row>
    <row r="20" spans="1:5" x14ac:dyDescent="0.25">
      <c r="A20" s="4" t="s">
        <v>9</v>
      </c>
      <c r="B20" s="16"/>
      <c r="C20" s="5">
        <f>C15+C17+C18</f>
        <v>2595.437948717949</v>
      </c>
    </row>
    <row r="21" spans="1:5" x14ac:dyDescent="0.25">
      <c r="A21" s="4" t="s">
        <v>10</v>
      </c>
      <c r="B21" s="17">
        <v>0.56999999999999995</v>
      </c>
      <c r="C21" s="5">
        <f>C20*B21</f>
        <v>1479.3996307692307</v>
      </c>
    </row>
    <row r="22" spans="1:5" x14ac:dyDescent="0.25">
      <c r="A22" s="4" t="s">
        <v>11</v>
      </c>
      <c r="B22" s="16"/>
      <c r="C22" s="5">
        <f>C20+C21</f>
        <v>4074.8375794871799</v>
      </c>
    </row>
    <row r="23" spans="1:5" x14ac:dyDescent="0.25">
      <c r="A23" s="4"/>
      <c r="B23" s="16"/>
      <c r="C23" s="5"/>
    </row>
    <row r="24" spans="1:5" x14ac:dyDescent="0.25">
      <c r="A24" s="4" t="s">
        <v>12</v>
      </c>
      <c r="B24" s="17">
        <v>0.3</v>
      </c>
      <c r="C24" s="5">
        <f>C22*B24</f>
        <v>1222.451273846154</v>
      </c>
      <c r="E24" t="s">
        <v>30</v>
      </c>
    </row>
    <row r="25" spans="1:5" x14ac:dyDescent="0.25">
      <c r="A25" s="4" t="s">
        <v>13</v>
      </c>
      <c r="B25" s="16"/>
      <c r="C25" s="5">
        <f>C22+C24</f>
        <v>5297.2888533333335</v>
      </c>
    </row>
    <row r="26" spans="1:5" x14ac:dyDescent="0.25">
      <c r="A26" s="4" t="s">
        <v>14</v>
      </c>
      <c r="B26" s="17">
        <v>0.03</v>
      </c>
      <c r="C26" s="5">
        <f>C25/(1-B26)-C25</f>
        <v>163.83367587628891</v>
      </c>
      <c r="E26" t="s">
        <v>30</v>
      </c>
    </row>
    <row r="27" spans="1:5" x14ac:dyDescent="0.25">
      <c r="A27" s="4" t="s">
        <v>15</v>
      </c>
      <c r="B27" s="16"/>
      <c r="C27" s="5">
        <f>C25+C26</f>
        <v>5461.1225292096224</v>
      </c>
    </row>
    <row r="28" spans="1:5" x14ac:dyDescent="0.25">
      <c r="A28" s="4" t="s">
        <v>16</v>
      </c>
      <c r="B28" s="17">
        <v>0.2</v>
      </c>
      <c r="C28" s="5">
        <f>C27*B28</f>
        <v>1092.2245058419246</v>
      </c>
    </row>
    <row r="29" spans="1:5" x14ac:dyDescent="0.25">
      <c r="A29" s="4" t="s">
        <v>17</v>
      </c>
      <c r="B29" s="16"/>
      <c r="C29" s="5">
        <f>C27+C28</f>
        <v>6553.3470350515472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Preiskalkulation</vt:lpstr>
      <vt:lpstr>Berrechnung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Riepl Christian</cp:lastModifiedBy>
  <dcterms:created xsi:type="dcterms:W3CDTF">2026-06-26T12:21:53Z</dcterms:created>
  <dcterms:modified xsi:type="dcterms:W3CDTF">2026-06-29T10:41:59Z</dcterms:modified>
</cp:coreProperties>
</file>